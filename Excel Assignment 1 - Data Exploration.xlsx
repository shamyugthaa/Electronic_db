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2273152dd2e8287/Desktop/SAM PROJECT/"/>
    </mc:Choice>
  </mc:AlternateContent>
  <xr:revisionPtr revIDLastSave="0" documentId="8_{64DD9D24-1392-4E8C-9D49-3F3D59411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ques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B3" i="2" l="1"/>
  <c r="B2" i="2"/>
  <c r="I2" i="1"/>
  <c r="B13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B20" i="2"/>
  <c r="B18" i="2"/>
  <c r="B14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B8" i="2"/>
  <c r="B7" i="2"/>
  <c r="B4" i="2"/>
</calcChain>
</file>

<file path=xl/sharedStrings.xml><?xml version="1.0" encoding="utf-8"?>
<sst xmlns="http://schemas.openxmlformats.org/spreadsheetml/2006/main" count="172" uniqueCount="123">
  <si>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</si>
  <si>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</si>
  <si>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</si>
  <si>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</si>
  <si>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</si>
  <si>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</si>
  <si>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</si>
  <si>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</si>
  <si>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</si>
  <si>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</si>
  <si>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</si>
  <si>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</si>
  <si>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</si>
  <si>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</si>
  <si>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</si>
  <si>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</si>
  <si>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</si>
  <si>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</si>
  <si>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</si>
  <si>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</si>
  <si>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</si>
  <si>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</si>
  <si>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</si>
  <si>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</si>
  <si>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</si>
  <si>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</si>
  <si>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</si>
  <si>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</si>
  <si>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</si>
  <si>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</si>
  <si>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</si>
  <si>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</si>
  <si>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</si>
  <si>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</si>
  <si>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</si>
  <si>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</si>
  <si>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</si>
  <si>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</si>
  <si>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</si>
  <si>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</si>
  <si>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</si>
  <si>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</si>
  <si>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</si>
  <si>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</si>
  <si>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</si>
  <si>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</si>
  <si>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</si>
  <si>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</si>
  <si>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</si>
  <si>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</si>
  <si>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</si>
  <si>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</si>
  <si>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</si>
  <si>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</si>
  <si>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</si>
  <si>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</si>
  <si>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</si>
  <si>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</si>
  <si>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</si>
  <si>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</si>
  <si>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</si>
  <si>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</si>
  <si>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</si>
  <si>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</si>
  <si>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</si>
  <si>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</si>
  <si>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</si>
  <si>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</si>
  <si>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</si>
  <si>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</si>
  <si>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</si>
  <si>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</si>
  <si>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</si>
  <si>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</si>
  <si>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</si>
  <si>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</si>
  <si>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</si>
  <si>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</si>
  <si>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</si>
  <si>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</si>
  <si>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</si>
  <si>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</si>
  <si>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</si>
  <si>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</si>
  <si>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</si>
  <si>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</si>
  <si>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</si>
  <si>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</si>
  <si>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</si>
  <si>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</si>
  <si>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</si>
  <si>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</si>
  <si>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</si>
  <si>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 .SUM,COUNT AND AVERAGE</t>
  </si>
  <si>
    <t>2 .MINIMUM AND MAXIMUM VALUES</t>
  </si>
  <si>
    <t>○ If Price ≥ $500 → classify as High Price</t>
  </si>
  <si>
    <t>○ If Price &lt; $500 → classify as Standard Price</t>
  </si>
  <si>
    <t>4. Conditional Functions – SUMIF and COUNTIF</t>
  </si>
  <si>
    <t>3 .LOGICAL FUNCTION- IF</t>
  </si>
  <si>
    <t>5. Text Formatting – LEFT, RIGHT, MID</t>
  </si>
  <si>
    <t>*Create a new column named Price Range.</t>
  </si>
  <si>
    <t>*Use the IF function to categorize products based on their price:</t>
  </si>
  <si>
    <t>*Use the SUMIF function to calculate the total price of products in the</t>
  </si>
  <si>
    <t>*Use the COUNTIF function to determine the number of products with a price</t>
  </si>
  <si>
    <t xml:space="preserve">  Electronics category.</t>
  </si>
  <si>
    <t xml:space="preserve">  less than $100.</t>
  </si>
  <si>
    <t>*Identify the minimum price among all products.</t>
  </si>
  <si>
    <t>*Identify the maximum price among all products.</t>
  </si>
  <si>
    <t>*Calculate the average price of the products.</t>
  </si>
  <si>
    <t>*Determine how many products exist in the dataset.</t>
  </si>
  <si>
    <t>*Calculate the total price of all products in the dataset.</t>
  </si>
  <si>
    <t>*Use text functions to extract information from the Product ID column.</t>
  </si>
  <si>
    <t>*Create a new column named Day with the first 2 characters of each</t>
  </si>
  <si>
    <t xml:space="preserve">  'Product ID' using the LEFT function.</t>
  </si>
  <si>
    <t>*Create a new column named Country Code by extracting the last 2</t>
  </si>
  <si>
    <t xml:space="preserve">  characters from the 'Product ID' column using the RIGHT function.</t>
  </si>
  <si>
    <t>*Create a new column named Month by extracting the 4th to 6th</t>
  </si>
  <si>
    <t xml:space="preserve"> characters from the 'Product ID' column using the MID function.</t>
  </si>
  <si>
    <t>Price range</t>
  </si>
  <si>
    <t>Right</t>
  </si>
  <si>
    <t>Left</t>
  </si>
  <si>
    <t>Month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</si>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</sst>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20B4E-352C-49B2-A344-E46C04E22157}" name="Electronic_db" displayName="Electronic_db" ref="A1:J35" totalsRowShown="0" headerRowDxfId="0" dataDxfId="14" headerRowBorderDxfId="12" tableBorderDxfId="13" totalsRowBorderDxfId="11">
  <autoFilter ref="A1:J35" xr:uid="{2ED20B4E-352C-49B2-A344-E46C04E22157}"/>
  <tableColumns count="10">
    <tableColumn id="1" xr3:uid="{D3EC3830-ABB6-4449-9FDD-70204E752E85}" name="Product ID" dataDxfId="10"/>
    <tableColumn id="2" xr3:uid="{9F0FCF9A-E57A-4DAC-A54A-432ED2C9B4F9}" name="Product Name" dataDxfId="9"/>
    <tableColumn id="3" xr3:uid="{70FEB106-D286-4899-8290-2CDCB6DA01DD}" name="Brand Name" dataDxfId="8"/>
    <tableColumn id="4" xr3:uid="{87E5B9E7-7B21-43AD-94A7-E5221B468448}" name="Price ($)" dataDxfId="7"/>
    <tableColumn id="5" xr3:uid="{CBAC4A91-71AD-4FB4-9AA6-88A174607D70}" name="Quantity" dataDxfId="6"/>
    <tableColumn id="6" xr3:uid="{0049B433-D9DE-4E16-A145-F0D6F5218662}" name="Category" dataDxfId="5"/>
    <tableColumn id="8" xr3:uid="{90538D07-9B7E-40CB-B7BB-F3804989853F}" name="Price range" dataDxfId="4">
      <calculatedColumnFormula>IF(Electronic_db[[#This Row],[Price ($)]]&gt;=500,"High price","Standard price")</calculatedColumnFormula>
    </tableColumn>
    <tableColumn id="9" xr3:uid="{6E467BCD-3CA7-44D1-9C36-87138B05EF2C}" name="Right" dataDxfId="3">
      <calculatedColumnFormula>RIGHT(Electronic_db[[#This Row],[Product ID]],2)</calculatedColumnFormula>
    </tableColumn>
    <tableColumn id="10" xr3:uid="{174F559B-CE12-4C42-A0BD-F8C71CB28A7E}" name="Left" dataDxfId="2">
      <calculatedColumnFormula>LEFT(Electronic_db[[#This Row],[Product ID]],2)</calculatedColumnFormula>
    </tableColumn>
    <tableColumn id="11" xr3:uid="{244AE279-70DC-4173-8E63-6164628A4514}" name="Month" dataDxfId="1">
      <calculatedColumnFormula>MID(Electronic_db[[#This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000"/>
  <sheetViews>
    <sheetView tabSelected="1" workbookViewId="0">
      <selection sqref="A1:J35"/>
    </sheetView>
  </sheetViews>
  <sheetFormatPr defaultColWidth="12.6640625" defaultRowHeight="15" customHeight="1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15.44140625" bestFit="1" customWidth="1"/>
    <col min="8" max="8" width="11.88671875" customWidth="1"/>
    <col min="9" max="9" width="11.33203125" bestFit="1" customWidth="1"/>
  </cols>
  <sheetData>
    <row r="1" spans="1:10" ht="15.7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118</v>
      </c>
      <c r="H1" s="10" t="s">
        <v>119</v>
      </c>
      <c r="I1" s="10" t="s">
        <v>120</v>
      </c>
      <c r="J1" s="11" t="s">
        <v>121</v>
      </c>
    </row>
    <row r="2" spans="1:10" ht="15.75" customHeight="1" x14ac:dyDescent="0.25">
      <c r="A2" s="12" t="s">
        <v>6</v>
      </c>
      <c r="B2" s="7" t="s">
        <v>7</v>
      </c>
      <c r="C2" s="7" t="s">
        <v>8</v>
      </c>
      <c r="D2" s="7">
        <v>1000</v>
      </c>
      <c r="E2" s="7">
        <v>30</v>
      </c>
      <c r="F2" s="7" t="s">
        <v>9</v>
      </c>
      <c r="G2" s="8" t="str">
        <f>IF(Electronic_db[[#This Row],[Price ($)]]&gt;=500,"High price","Standard price")</f>
        <v>High price</v>
      </c>
      <c r="H2" s="8" t="str">
        <f>RIGHT(Electronic_db[[#This Row],[Product ID]],2)</f>
        <v>US</v>
      </c>
      <c r="I2" s="8" t="str">
        <f>LEFT(Electronic_db[[#This Row],[Product ID]],2)</f>
        <v>28</v>
      </c>
      <c r="J2" s="13" t="str">
        <f>MID(Electronic_db[[#This Row],[Product ID]],4,3)</f>
        <v>JAN</v>
      </c>
    </row>
    <row r="3" spans="1:10" ht="15.75" customHeight="1" x14ac:dyDescent="0.25">
      <c r="A3" s="14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G3" s="8" t="str">
        <f>IF(Electronic_db[[#This Row],[Price ($)]]&gt;=500,"High price","Standard price")</f>
        <v>Standard price</v>
      </c>
      <c r="H3" s="8" t="str">
        <f>RIGHT(Electronic_db[[#This Row],[Product ID]],2)</f>
        <v>US</v>
      </c>
      <c r="I3" s="8" t="str">
        <f>LEFT(Electronic_db[[#This Row],[Product ID]],2)</f>
        <v>15</v>
      </c>
      <c r="J3" s="13" t="str">
        <f>MID(Electronic_db[[#This Row],[Product ID]],4,3)</f>
        <v>FEB</v>
      </c>
    </row>
    <row r="4" spans="1:10" ht="15.75" customHeight="1" x14ac:dyDescent="0.25">
      <c r="A4" s="12" t="s">
        <v>14</v>
      </c>
      <c r="B4" s="7" t="s">
        <v>15</v>
      </c>
      <c r="C4" s="7" t="s">
        <v>16</v>
      </c>
      <c r="D4" s="7">
        <v>130</v>
      </c>
      <c r="E4" s="7">
        <v>40</v>
      </c>
      <c r="F4" s="7" t="s">
        <v>17</v>
      </c>
      <c r="G4" s="8" t="str">
        <f>IF(Electronic_db[[#This Row],[Price ($)]]&gt;=500,"High price","Standard price")</f>
        <v>Standard price</v>
      </c>
      <c r="H4" s="8" t="str">
        <f>RIGHT(Electronic_db[[#This Row],[Product ID]],2)</f>
        <v>US</v>
      </c>
      <c r="I4" s="8" t="str">
        <f>LEFT(Electronic_db[[#This Row],[Product ID]],2)</f>
        <v>03</v>
      </c>
      <c r="J4" s="13" t="str">
        <f>MID(Electronic_db[[#This Row],[Product ID]],4,3)</f>
        <v>MAR</v>
      </c>
    </row>
    <row r="5" spans="1:10" ht="15.75" customHeight="1" x14ac:dyDescent="0.25">
      <c r="A5" s="14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G5" s="8" t="str">
        <f>IF(Electronic_db[[#This Row],[Price ($)]]&gt;=500,"High price","Standard price")</f>
        <v>High price</v>
      </c>
      <c r="H5" s="8" t="str">
        <f>RIGHT(Electronic_db[[#This Row],[Product ID]],2)</f>
        <v>US</v>
      </c>
      <c r="I5" s="8" t="str">
        <f>LEFT(Electronic_db[[#This Row],[Product ID]],2)</f>
        <v>11</v>
      </c>
      <c r="J5" s="13" t="str">
        <f>MID(Electronic_db[[#This Row],[Product ID]],4,3)</f>
        <v>APR</v>
      </c>
    </row>
    <row r="6" spans="1:10" ht="15.75" customHeight="1" x14ac:dyDescent="0.25">
      <c r="A6" s="12" t="s">
        <v>21</v>
      </c>
      <c r="B6" s="7" t="s">
        <v>22</v>
      </c>
      <c r="C6" s="7" t="s">
        <v>23</v>
      </c>
      <c r="D6" s="7">
        <v>70</v>
      </c>
      <c r="E6" s="7">
        <v>20</v>
      </c>
      <c r="F6" s="7" t="s">
        <v>24</v>
      </c>
      <c r="G6" s="8" t="str">
        <f>IF(Electronic_db[[#This Row],[Price ($)]]&gt;=500,"High price","Standard price")</f>
        <v>Standard price</v>
      </c>
      <c r="H6" s="8" t="str">
        <f>RIGHT(Electronic_db[[#This Row],[Product ID]],2)</f>
        <v>US</v>
      </c>
      <c r="I6" s="8" t="str">
        <f>LEFT(Electronic_db[[#This Row],[Product ID]],2)</f>
        <v>22</v>
      </c>
      <c r="J6" s="13" t="str">
        <f>MID(Electronic_db[[#This Row],[Product ID]],4,3)</f>
        <v>MAY</v>
      </c>
    </row>
    <row r="7" spans="1:10" ht="15.75" customHeight="1" x14ac:dyDescent="0.25">
      <c r="A7" s="14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G7" s="8" t="str">
        <f>IF(Electronic_db[[#This Row],[Price ($)]]&gt;=500,"High price","Standard price")</f>
        <v>Standard price</v>
      </c>
      <c r="H7" s="8" t="str">
        <f>RIGHT(Electronic_db[[#This Row],[Product ID]],2)</f>
        <v>UK</v>
      </c>
      <c r="I7" s="8" t="str">
        <f>LEFT(Electronic_db[[#This Row],[Product ID]],2)</f>
        <v>07</v>
      </c>
      <c r="J7" s="13" t="str">
        <f>MID(Electronic_db[[#This Row],[Product ID]],4,3)</f>
        <v>JUN</v>
      </c>
    </row>
    <row r="8" spans="1:10" ht="15.75" customHeight="1" x14ac:dyDescent="0.25">
      <c r="A8" s="12" t="s">
        <v>28</v>
      </c>
      <c r="B8" s="7" t="s">
        <v>29</v>
      </c>
      <c r="C8" s="7" t="s">
        <v>30</v>
      </c>
      <c r="D8" s="7">
        <v>30</v>
      </c>
      <c r="E8" s="7">
        <v>5</v>
      </c>
      <c r="F8" s="7" t="s">
        <v>13</v>
      </c>
      <c r="G8" s="8" t="str">
        <f>IF(Electronic_db[[#This Row],[Price ($)]]&gt;=500,"High price","Standard price")</f>
        <v>Standard price</v>
      </c>
      <c r="H8" s="8" t="str">
        <f>RIGHT(Electronic_db[[#This Row],[Product ID]],2)</f>
        <v>UK</v>
      </c>
      <c r="I8" s="8" t="str">
        <f>LEFT(Electronic_db[[#This Row],[Product ID]],2)</f>
        <v>19</v>
      </c>
      <c r="J8" s="13" t="str">
        <f>MID(Electronic_db[[#This Row],[Product ID]],4,3)</f>
        <v>JUL</v>
      </c>
    </row>
    <row r="9" spans="1:10" ht="15.75" customHeight="1" x14ac:dyDescent="0.25">
      <c r="A9" s="14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G9" s="8" t="str">
        <f>IF(Electronic_db[[#This Row],[Price ($)]]&gt;=500,"High price","Standard price")</f>
        <v>Standard price</v>
      </c>
      <c r="H9" s="8" t="str">
        <f>RIGHT(Electronic_db[[#This Row],[Product ID]],2)</f>
        <v>UK</v>
      </c>
      <c r="I9" s="8" t="str">
        <f>LEFT(Electronic_db[[#This Row],[Product ID]],2)</f>
        <v>23</v>
      </c>
      <c r="J9" s="13" t="str">
        <f>MID(Electronic_db[[#This Row],[Product ID]],4,3)</f>
        <v>AUG</v>
      </c>
    </row>
    <row r="10" spans="1:10" ht="15.75" customHeight="1" x14ac:dyDescent="0.25">
      <c r="A10" s="12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7" t="s">
        <v>9</v>
      </c>
      <c r="G10" s="8" t="str">
        <f>IF(Electronic_db[[#This Row],[Price ($)]]&gt;=500,"High price","Standard price")</f>
        <v>High price</v>
      </c>
      <c r="H10" s="8" t="str">
        <f>RIGHT(Electronic_db[[#This Row],[Product ID]],2)</f>
        <v>UK</v>
      </c>
      <c r="I10" s="8" t="str">
        <f>LEFT(Electronic_db[[#This Row],[Product ID]],2)</f>
        <v>05</v>
      </c>
      <c r="J10" s="13" t="str">
        <f>MID(Electronic_db[[#This Row],[Product ID]],4,3)</f>
        <v>SEP</v>
      </c>
    </row>
    <row r="11" spans="1:10" ht="15.75" customHeight="1" x14ac:dyDescent="0.25">
      <c r="A11" s="14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G11" s="8" t="str">
        <f>IF(Electronic_db[[#This Row],[Price ($)]]&gt;=500,"High price","Standard price")</f>
        <v>Standard price</v>
      </c>
      <c r="H11" s="8" t="str">
        <f>RIGHT(Electronic_db[[#This Row],[Product ID]],2)</f>
        <v>UK</v>
      </c>
      <c r="I11" s="8" t="str">
        <f>LEFT(Electronic_db[[#This Row],[Product ID]],2)</f>
        <v>14</v>
      </c>
      <c r="J11" s="13" t="str">
        <f>MID(Electronic_db[[#This Row],[Product ID]],4,3)</f>
        <v>OCT</v>
      </c>
    </row>
    <row r="12" spans="1:10" ht="15.75" customHeight="1" x14ac:dyDescent="0.25">
      <c r="A12" s="12" t="s">
        <v>40</v>
      </c>
      <c r="B12" s="7" t="s">
        <v>7</v>
      </c>
      <c r="C12" s="7" t="s">
        <v>41</v>
      </c>
      <c r="D12" s="7">
        <v>950</v>
      </c>
      <c r="E12" s="7">
        <v>25</v>
      </c>
      <c r="F12" s="7" t="s">
        <v>9</v>
      </c>
      <c r="G12" s="8" t="str">
        <f>IF(Electronic_db[[#This Row],[Price ($)]]&gt;=500,"High price","Standard price")</f>
        <v>High price</v>
      </c>
      <c r="H12" s="8" t="str">
        <f>RIGHT(Electronic_db[[#This Row],[Product ID]],2)</f>
        <v>IN</v>
      </c>
      <c r="I12" s="8" t="str">
        <f>LEFT(Electronic_db[[#This Row],[Product ID]],2)</f>
        <v>17</v>
      </c>
      <c r="J12" s="13" t="str">
        <f>MID(Electronic_db[[#This Row],[Product ID]],4,3)</f>
        <v>JUN</v>
      </c>
    </row>
    <row r="13" spans="1:10" ht="15.75" customHeight="1" x14ac:dyDescent="0.25">
      <c r="A13" s="14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G13" s="8" t="str">
        <f>IF(Electronic_db[[#This Row],[Price ($)]]&gt;=500,"High price","Standard price")</f>
        <v>Standard price</v>
      </c>
      <c r="H13" s="8" t="str">
        <f>RIGHT(Electronic_db[[#This Row],[Product ID]],2)</f>
        <v>AU</v>
      </c>
      <c r="I13" s="8" t="str">
        <f>LEFT(Electronic_db[[#This Row],[Product ID]],2)</f>
        <v>25</v>
      </c>
      <c r="J13" s="13" t="str">
        <f>MID(Electronic_db[[#This Row],[Product ID]],4,3)</f>
        <v>NOV</v>
      </c>
    </row>
    <row r="14" spans="1:10" ht="15.75" customHeight="1" x14ac:dyDescent="0.25">
      <c r="A14" s="12" t="s">
        <v>43</v>
      </c>
      <c r="B14" s="7" t="s">
        <v>15</v>
      </c>
      <c r="C14" s="7" t="s">
        <v>44</v>
      </c>
      <c r="D14" s="7">
        <v>120</v>
      </c>
      <c r="E14" s="7">
        <v>35</v>
      </c>
      <c r="F14" s="7" t="s">
        <v>17</v>
      </c>
      <c r="G14" s="8" t="str">
        <f>IF(Electronic_db[[#This Row],[Price ($)]]&gt;=500,"High price","Standard price")</f>
        <v>Standard price</v>
      </c>
      <c r="H14" s="8" t="str">
        <f>RIGHT(Electronic_db[[#This Row],[Product ID]],2)</f>
        <v>DE</v>
      </c>
      <c r="I14" s="8" t="str">
        <f>LEFT(Electronic_db[[#This Row],[Product ID]],2)</f>
        <v>08</v>
      </c>
      <c r="J14" s="13" t="str">
        <f>MID(Electronic_db[[#This Row],[Product ID]],4,3)</f>
        <v>DEC</v>
      </c>
    </row>
    <row r="15" spans="1:10" ht="15.75" customHeight="1" x14ac:dyDescent="0.25">
      <c r="A15" s="14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G15" s="8" t="str">
        <f>IF(Electronic_db[[#This Row],[Price ($)]]&gt;=500,"High price","Standard price")</f>
        <v>Standard price</v>
      </c>
      <c r="H15" s="8" t="str">
        <f>RIGHT(Electronic_db[[#This Row],[Product ID]],2)</f>
        <v>CA</v>
      </c>
      <c r="I15" s="8" t="str">
        <f>LEFT(Electronic_db[[#This Row],[Product ID]],2)</f>
        <v>18</v>
      </c>
      <c r="J15" s="13" t="str">
        <f>MID(Electronic_db[[#This Row],[Product ID]],4,3)</f>
        <v>FEB</v>
      </c>
    </row>
    <row r="16" spans="1:10" ht="15.75" customHeight="1" x14ac:dyDescent="0.25">
      <c r="A16" s="12" t="s">
        <v>48</v>
      </c>
      <c r="B16" s="7" t="s">
        <v>26</v>
      </c>
      <c r="C16" s="7" t="s">
        <v>49</v>
      </c>
      <c r="D16" s="7">
        <v>250</v>
      </c>
      <c r="E16" s="7">
        <v>20</v>
      </c>
      <c r="F16" s="7" t="s">
        <v>9</v>
      </c>
      <c r="G16" s="8" t="str">
        <f>IF(Electronic_db[[#This Row],[Price ($)]]&gt;=500,"High price","Standard price")</f>
        <v>Standard price</v>
      </c>
      <c r="H16" s="8" t="str">
        <f>RIGHT(Electronic_db[[#This Row],[Product ID]],2)</f>
        <v>ES</v>
      </c>
      <c r="I16" s="8" t="str">
        <f>LEFT(Electronic_db[[#This Row],[Product ID]],2)</f>
        <v>16</v>
      </c>
      <c r="J16" s="13" t="str">
        <f>MID(Electronic_db[[#This Row],[Product ID]],4,3)</f>
        <v>APR</v>
      </c>
    </row>
    <row r="17" spans="1:10" ht="15.75" customHeight="1" x14ac:dyDescent="0.25">
      <c r="A17" s="14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G17" s="8" t="str">
        <f>IF(Electronic_db[[#This Row],[Price ($)]]&gt;=500,"High price","Standard price")</f>
        <v>Standard price</v>
      </c>
      <c r="H17" s="8" t="str">
        <f>RIGHT(Electronic_db[[#This Row],[Product ID]],2)</f>
        <v>CA</v>
      </c>
      <c r="I17" s="8" t="str">
        <f>LEFT(Electronic_db[[#This Row],[Product ID]],2)</f>
        <v>21</v>
      </c>
      <c r="J17" s="13" t="str">
        <f>MID(Electronic_db[[#This Row],[Product ID]],4,3)</f>
        <v>AUG</v>
      </c>
    </row>
    <row r="18" spans="1:10" ht="15.75" customHeight="1" x14ac:dyDescent="0.25">
      <c r="A18" s="12" t="s">
        <v>54</v>
      </c>
      <c r="B18" s="7" t="s">
        <v>46</v>
      </c>
      <c r="C18" s="7" t="s">
        <v>55</v>
      </c>
      <c r="D18" s="7">
        <v>160</v>
      </c>
      <c r="E18" s="7">
        <v>15</v>
      </c>
      <c r="F18" s="7" t="s">
        <v>9</v>
      </c>
      <c r="G18" s="8" t="str">
        <f>IF(Electronic_db[[#This Row],[Price ($)]]&gt;=500,"High price","Standard price")</f>
        <v>Standard price</v>
      </c>
      <c r="H18" s="8" t="str">
        <f>RIGHT(Electronic_db[[#This Row],[Product ID]],2)</f>
        <v>CN</v>
      </c>
      <c r="I18" s="8" t="str">
        <f>LEFT(Electronic_db[[#This Row],[Product ID]],2)</f>
        <v>20</v>
      </c>
      <c r="J18" s="13" t="str">
        <f>MID(Electronic_db[[#This Row],[Product ID]],4,3)</f>
        <v>AUG</v>
      </c>
    </row>
    <row r="19" spans="1:10" ht="15.75" customHeight="1" x14ac:dyDescent="0.25">
      <c r="A19" s="14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G19" s="8" t="str">
        <f>IF(Electronic_db[[#This Row],[Price ($)]]&gt;=500,"High price","Standard price")</f>
        <v>High price</v>
      </c>
      <c r="H19" s="8" t="str">
        <f>RIGHT(Electronic_db[[#This Row],[Product ID]],2)</f>
        <v>IT</v>
      </c>
      <c r="I19" s="8" t="str">
        <f>LEFT(Electronic_db[[#This Row],[Product ID]],2)</f>
        <v>27</v>
      </c>
      <c r="J19" s="13" t="str">
        <f>MID(Electronic_db[[#This Row],[Product ID]],4,3)</f>
        <v>JAN</v>
      </c>
    </row>
    <row r="20" spans="1:10" ht="15.75" customHeight="1" x14ac:dyDescent="0.25">
      <c r="A20" s="12" t="s">
        <v>58</v>
      </c>
      <c r="B20" s="7" t="s">
        <v>59</v>
      </c>
      <c r="C20" s="7" t="s">
        <v>60</v>
      </c>
      <c r="D20" s="7">
        <v>150</v>
      </c>
      <c r="E20" s="7">
        <v>15</v>
      </c>
      <c r="F20" s="7" t="s">
        <v>13</v>
      </c>
      <c r="G20" s="8" t="str">
        <f>IF(Electronic_db[[#This Row],[Price ($)]]&gt;=500,"High price","Standard price")</f>
        <v>Standard price</v>
      </c>
      <c r="H20" s="8" t="str">
        <f>RIGHT(Electronic_db[[#This Row],[Product ID]],2)</f>
        <v>UK</v>
      </c>
      <c r="I20" s="8" t="str">
        <f>LEFT(Electronic_db[[#This Row],[Product ID]],2)</f>
        <v>01</v>
      </c>
      <c r="J20" s="13" t="str">
        <f>MID(Electronic_db[[#This Row],[Product ID]],4,3)</f>
        <v>MAR</v>
      </c>
    </row>
    <row r="21" spans="1:10" ht="15.75" customHeight="1" x14ac:dyDescent="0.25">
      <c r="A21" s="14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G21" s="8" t="str">
        <f>IF(Electronic_db[[#This Row],[Price ($)]]&gt;=500,"High price","Standard price")</f>
        <v>Standard price</v>
      </c>
      <c r="H21" s="8" t="str">
        <f>RIGHT(Electronic_db[[#This Row],[Product ID]],2)</f>
        <v>US</v>
      </c>
      <c r="I21" s="8" t="str">
        <f>LEFT(Electronic_db[[#This Row],[Product ID]],2)</f>
        <v>14</v>
      </c>
      <c r="J21" s="13" t="str">
        <f>MID(Electronic_db[[#This Row],[Product ID]],4,3)</f>
        <v>AUG</v>
      </c>
    </row>
    <row r="22" spans="1:10" ht="15.75" customHeight="1" x14ac:dyDescent="0.25">
      <c r="A22" s="12" t="s">
        <v>64</v>
      </c>
      <c r="B22" s="7" t="s">
        <v>65</v>
      </c>
      <c r="C22" s="7" t="s">
        <v>66</v>
      </c>
      <c r="D22" s="7">
        <v>700</v>
      </c>
      <c r="E22" s="7">
        <v>50</v>
      </c>
      <c r="F22" s="7" t="s">
        <v>9</v>
      </c>
      <c r="G22" s="8" t="str">
        <f>IF(Electronic_db[[#This Row],[Price ($)]]&gt;=500,"High price","Standard price")</f>
        <v>High price</v>
      </c>
      <c r="H22" s="8" t="str">
        <f>RIGHT(Electronic_db[[#This Row],[Product ID]],2)</f>
        <v>RU</v>
      </c>
      <c r="I22" s="8" t="str">
        <f>LEFT(Electronic_db[[#This Row],[Product ID]],2)</f>
        <v>14</v>
      </c>
      <c r="J22" s="13" t="str">
        <f>MID(Electronic_db[[#This Row],[Product ID]],4,3)</f>
        <v>MAY</v>
      </c>
    </row>
    <row r="23" spans="1:10" ht="15.75" customHeight="1" x14ac:dyDescent="0.25">
      <c r="A23" s="14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G23" s="8" t="str">
        <f>IF(Electronic_db[[#This Row],[Price ($)]]&gt;=500,"High price","Standard price")</f>
        <v>Standard price</v>
      </c>
      <c r="H23" s="8" t="str">
        <f>RIGHT(Electronic_db[[#This Row],[Product ID]],2)</f>
        <v>CA</v>
      </c>
      <c r="I23" s="8" t="str">
        <f>LEFT(Electronic_db[[#This Row],[Product ID]],2)</f>
        <v>09</v>
      </c>
      <c r="J23" s="13" t="str">
        <f>MID(Electronic_db[[#This Row],[Product ID]],4,3)</f>
        <v>JAN</v>
      </c>
    </row>
    <row r="24" spans="1:10" ht="15.75" customHeight="1" x14ac:dyDescent="0.25">
      <c r="A24" s="12" t="s">
        <v>70</v>
      </c>
      <c r="B24" s="7" t="s">
        <v>71</v>
      </c>
      <c r="C24" s="7" t="s">
        <v>72</v>
      </c>
      <c r="D24" s="7">
        <v>150</v>
      </c>
      <c r="E24" s="7">
        <v>30</v>
      </c>
      <c r="F24" s="7" t="s">
        <v>9</v>
      </c>
      <c r="G24" s="8" t="str">
        <f>IF(Electronic_db[[#This Row],[Price ($)]]&gt;=500,"High price","Standard price")</f>
        <v>Standard price</v>
      </c>
      <c r="H24" s="8" t="str">
        <f>RIGHT(Electronic_db[[#This Row],[Product ID]],2)</f>
        <v>BR</v>
      </c>
      <c r="I24" s="8" t="str">
        <f>LEFT(Electronic_db[[#This Row],[Product ID]],2)</f>
        <v>19</v>
      </c>
      <c r="J24" s="13" t="str">
        <f>MID(Electronic_db[[#This Row],[Product ID]],4,3)</f>
        <v>JUL</v>
      </c>
    </row>
    <row r="25" spans="1:10" ht="15.75" customHeight="1" x14ac:dyDescent="0.25">
      <c r="A25" s="14" t="s">
        <v>50</v>
      </c>
      <c r="B25" s="8" t="s">
        <v>51</v>
      </c>
      <c r="C25" s="8" t="s">
        <v>52</v>
      </c>
      <c r="D25" s="8">
        <v>50</v>
      </c>
      <c r="E25" s="8">
        <v>35</v>
      </c>
      <c r="F25" s="8" t="s">
        <v>53</v>
      </c>
      <c r="G25" s="8" t="str">
        <f>IF(Electronic_db[[#This Row],[Price ($)]]&gt;=500,"High price","Standard price")</f>
        <v>Standard price</v>
      </c>
      <c r="H25" s="8" t="str">
        <f>RIGHT(Electronic_db[[#This Row],[Product ID]],2)</f>
        <v>CA</v>
      </c>
      <c r="I25" s="8" t="str">
        <f>LEFT(Electronic_db[[#This Row],[Product ID]],2)</f>
        <v>21</v>
      </c>
      <c r="J25" s="13" t="str">
        <f>MID(Electronic_db[[#This Row],[Product ID]],4,3)</f>
        <v>AUG</v>
      </c>
    </row>
    <row r="26" spans="1:10" ht="15.75" customHeight="1" x14ac:dyDescent="0.25">
      <c r="A26" s="12" t="s">
        <v>73</v>
      </c>
      <c r="B26" s="7" t="s">
        <v>19</v>
      </c>
      <c r="C26" s="7" t="s">
        <v>74</v>
      </c>
      <c r="D26" s="7">
        <v>800</v>
      </c>
      <c r="E26" s="7">
        <v>45</v>
      </c>
      <c r="F26" s="7" t="s">
        <v>9</v>
      </c>
      <c r="G26" s="8" t="str">
        <f>IF(Electronic_db[[#This Row],[Price ($)]]&gt;=500,"High price","Standard price")</f>
        <v>High price</v>
      </c>
      <c r="H26" s="8" t="str">
        <f>RIGHT(Electronic_db[[#This Row],[Product ID]],2)</f>
        <v>CA</v>
      </c>
      <c r="I26" s="8" t="str">
        <f>LEFT(Electronic_db[[#This Row],[Product ID]],2)</f>
        <v>29</v>
      </c>
      <c r="J26" s="13" t="str">
        <f>MID(Electronic_db[[#This Row],[Product ID]],4,3)</f>
        <v>SEP</v>
      </c>
    </row>
    <row r="27" spans="1:10" ht="15.75" customHeight="1" x14ac:dyDescent="0.25">
      <c r="A27" s="14" t="s">
        <v>75</v>
      </c>
      <c r="B27" s="8" t="s">
        <v>59</v>
      </c>
      <c r="C27" s="8" t="s">
        <v>76</v>
      </c>
      <c r="D27" s="8">
        <v>130</v>
      </c>
      <c r="E27" s="8">
        <v>25</v>
      </c>
      <c r="F27" s="8" t="s">
        <v>13</v>
      </c>
      <c r="G27" s="8" t="str">
        <f>IF(Electronic_db[[#This Row],[Price ($)]]&gt;=500,"High price","Standard price")</f>
        <v>Standard price</v>
      </c>
      <c r="H27" s="8" t="str">
        <f>RIGHT(Electronic_db[[#This Row],[Product ID]],2)</f>
        <v>CA</v>
      </c>
      <c r="I27" s="8" t="str">
        <f>LEFT(Electronic_db[[#This Row],[Product ID]],2)</f>
        <v>03</v>
      </c>
      <c r="J27" s="13" t="str">
        <f>MID(Electronic_db[[#This Row],[Product ID]],4,3)</f>
        <v>JUN</v>
      </c>
    </row>
    <row r="28" spans="1:10" ht="15.75" customHeight="1" x14ac:dyDescent="0.25">
      <c r="A28" s="12" t="s">
        <v>77</v>
      </c>
      <c r="B28" s="7" t="s">
        <v>32</v>
      </c>
      <c r="C28" s="7" t="s">
        <v>78</v>
      </c>
      <c r="D28" s="7">
        <v>400</v>
      </c>
      <c r="E28" s="7">
        <v>40</v>
      </c>
      <c r="F28" s="7" t="s">
        <v>17</v>
      </c>
      <c r="G28" s="8" t="str">
        <f>IF(Electronic_db[[#This Row],[Price ($)]]&gt;=500,"High price","Standard price")</f>
        <v>Standard price</v>
      </c>
      <c r="H28" s="8" t="str">
        <f>RIGHT(Electronic_db[[#This Row],[Product ID]],2)</f>
        <v>CA</v>
      </c>
      <c r="I28" s="8" t="str">
        <f>LEFT(Electronic_db[[#This Row],[Product ID]],2)</f>
        <v>11</v>
      </c>
      <c r="J28" s="13" t="str">
        <f>MID(Electronic_db[[#This Row],[Product ID]],4,3)</f>
        <v>JUL</v>
      </c>
    </row>
    <row r="29" spans="1:10" ht="15.75" customHeight="1" x14ac:dyDescent="0.25">
      <c r="A29" s="14" t="s">
        <v>48</v>
      </c>
      <c r="B29" s="8" t="s">
        <v>26</v>
      </c>
      <c r="C29" s="8" t="s">
        <v>49</v>
      </c>
      <c r="D29" s="8">
        <v>230</v>
      </c>
      <c r="E29" s="8">
        <v>20</v>
      </c>
      <c r="F29" s="8" t="s">
        <v>9</v>
      </c>
      <c r="G29" s="8" t="str">
        <f>IF(Electronic_db[[#This Row],[Price ($)]]&gt;=500,"High price","Standard price")</f>
        <v>Standard price</v>
      </c>
      <c r="H29" s="8" t="str">
        <f>RIGHT(Electronic_db[[#This Row],[Product ID]],2)</f>
        <v>ES</v>
      </c>
      <c r="I29" s="8" t="str">
        <f>LEFT(Electronic_db[[#This Row],[Product ID]],2)</f>
        <v>16</v>
      </c>
      <c r="J29" s="13" t="str">
        <f>MID(Electronic_db[[#This Row],[Product ID]],4,3)</f>
        <v>APR</v>
      </c>
    </row>
    <row r="30" spans="1:10" ht="15.75" customHeight="1" x14ac:dyDescent="0.25">
      <c r="A30" s="12" t="s">
        <v>79</v>
      </c>
      <c r="B30" s="7" t="s">
        <v>80</v>
      </c>
      <c r="C30" s="7" t="s">
        <v>81</v>
      </c>
      <c r="D30" s="7">
        <v>60</v>
      </c>
      <c r="E30" s="7">
        <v>30</v>
      </c>
      <c r="F30" s="7" t="s">
        <v>13</v>
      </c>
      <c r="G30" s="8" t="str">
        <f>IF(Electronic_db[[#This Row],[Price ($)]]&gt;=500,"High price","Standard price")</f>
        <v>Standard price</v>
      </c>
      <c r="H30" s="8" t="str">
        <f>RIGHT(Electronic_db[[#This Row],[Product ID]],2)</f>
        <v>CA</v>
      </c>
      <c r="I30" s="8" t="str">
        <f>LEFT(Electronic_db[[#This Row],[Product ID]],2)</f>
        <v>07</v>
      </c>
      <c r="J30" s="13" t="str">
        <f>MID(Electronic_db[[#This Row],[Product ID]],4,3)</f>
        <v>MAR</v>
      </c>
    </row>
    <row r="31" spans="1:10" ht="15.75" customHeight="1" x14ac:dyDescent="0.25">
      <c r="A31" s="14" t="s">
        <v>82</v>
      </c>
      <c r="B31" s="8" t="s">
        <v>83</v>
      </c>
      <c r="C31" s="8" t="s">
        <v>84</v>
      </c>
      <c r="D31" s="8">
        <v>40</v>
      </c>
      <c r="E31" s="8">
        <v>10</v>
      </c>
      <c r="F31" s="8" t="s">
        <v>17</v>
      </c>
      <c r="G31" s="8" t="str">
        <f>IF(Electronic_db[[#This Row],[Price ($)]]&gt;=500,"High price","Standard price")</f>
        <v>Standard price</v>
      </c>
      <c r="H31" s="8" t="str">
        <f>RIGHT(Electronic_db[[#This Row],[Product ID]],2)</f>
        <v>CA</v>
      </c>
      <c r="I31" s="8" t="str">
        <f>LEFT(Electronic_db[[#This Row],[Product ID]],2)</f>
        <v>13</v>
      </c>
      <c r="J31" s="13" t="str">
        <f>MID(Electronic_db[[#This Row],[Product ID]],4,3)</f>
        <v>APR</v>
      </c>
    </row>
    <row r="32" spans="1:10" ht="15.75" customHeight="1" x14ac:dyDescent="0.25">
      <c r="A32" s="12" t="s">
        <v>85</v>
      </c>
      <c r="B32" s="7" t="s">
        <v>71</v>
      </c>
      <c r="C32" s="7" t="s">
        <v>86</v>
      </c>
      <c r="D32" s="7">
        <v>130</v>
      </c>
      <c r="E32" s="7">
        <v>5</v>
      </c>
      <c r="F32" s="7" t="s">
        <v>9</v>
      </c>
      <c r="G32" s="8" t="str">
        <f>IF(Electronic_db[[#This Row],[Price ($)]]&gt;=500,"High price","Standard price")</f>
        <v>Standard price</v>
      </c>
      <c r="H32" s="8" t="str">
        <f>RIGHT(Electronic_db[[#This Row],[Product ID]],2)</f>
        <v>CA</v>
      </c>
      <c r="I32" s="8" t="str">
        <f>LEFT(Electronic_db[[#This Row],[Product ID]],2)</f>
        <v>24</v>
      </c>
      <c r="J32" s="13" t="str">
        <f>MID(Electronic_db[[#This Row],[Product ID]],4,3)</f>
        <v>MAY</v>
      </c>
    </row>
    <row r="33" spans="1:10" ht="15.75" customHeight="1" x14ac:dyDescent="0.25">
      <c r="A33" s="14" t="s">
        <v>87</v>
      </c>
      <c r="B33" s="8" t="s">
        <v>88</v>
      </c>
      <c r="C33" s="8" t="s">
        <v>89</v>
      </c>
      <c r="D33" s="8">
        <v>50</v>
      </c>
      <c r="E33" s="8">
        <v>50</v>
      </c>
      <c r="F33" s="8" t="s">
        <v>13</v>
      </c>
      <c r="G33" s="8" t="str">
        <f>IF(Electronic_db[[#This Row],[Price ($)]]&gt;=500,"High price","Standard price")</f>
        <v>Standard price</v>
      </c>
      <c r="H33" s="8" t="str">
        <f>RIGHT(Electronic_db[[#This Row],[Product ID]],2)</f>
        <v>CA</v>
      </c>
      <c r="I33" s="8" t="str">
        <f>LEFT(Electronic_db[[#This Row],[Product ID]],2)</f>
        <v>02</v>
      </c>
      <c r="J33" s="13" t="str">
        <f>MID(Electronic_db[[#This Row],[Product ID]],4,3)</f>
        <v>DEC</v>
      </c>
    </row>
    <row r="34" spans="1:10" ht="15.75" customHeight="1" x14ac:dyDescent="0.25">
      <c r="A34" s="12" t="s">
        <v>40</v>
      </c>
      <c r="B34" s="7" t="s">
        <v>7</v>
      </c>
      <c r="C34" s="7" t="s">
        <v>41</v>
      </c>
      <c r="D34" s="7">
        <v>950</v>
      </c>
      <c r="E34" s="7">
        <v>25</v>
      </c>
      <c r="F34" s="7" t="s">
        <v>9</v>
      </c>
      <c r="G34" s="8" t="str">
        <f>IF(Electronic_db[[#This Row],[Price ($)]]&gt;=500,"High price","Standard price")</f>
        <v>High price</v>
      </c>
      <c r="H34" s="8" t="str">
        <f>RIGHT(Electronic_db[[#This Row],[Product ID]],2)</f>
        <v>IN</v>
      </c>
      <c r="I34" s="8" t="str">
        <f>LEFT(Electronic_db[[#This Row],[Product ID]],2)</f>
        <v>17</v>
      </c>
      <c r="J34" s="13" t="str">
        <f>MID(Electronic_db[[#This Row],[Product ID]],4,3)</f>
        <v>JUN</v>
      </c>
    </row>
    <row r="35" spans="1:10" ht="15.75" customHeight="1" x14ac:dyDescent="0.25">
      <c r="A35" s="15" t="s">
        <v>90</v>
      </c>
      <c r="B35" s="16" t="s">
        <v>91</v>
      </c>
      <c r="C35" s="16" t="s">
        <v>92</v>
      </c>
      <c r="D35" s="16">
        <v>100</v>
      </c>
      <c r="E35" s="16">
        <v>20</v>
      </c>
      <c r="F35" s="16" t="s">
        <v>53</v>
      </c>
      <c r="G35" s="16" t="str">
        <f>IF(Electronic_db[[#This Row],[Price ($)]]&gt;=500,"High price","Standard price")</f>
        <v>Standard price</v>
      </c>
      <c r="H35" s="16" t="str">
        <f>RIGHT(Electronic_db[[#This Row],[Product ID]],2)</f>
        <v>FR</v>
      </c>
      <c r="I35" s="16" t="str">
        <f>LEFT(Electronic_db[[#This Row],[Product ID]],2)</f>
        <v>09</v>
      </c>
      <c r="J35" s="17" t="str">
        <f>MID(Electronic_db[[#This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.3" footer="0.3"/>
  <pageSetup paperSize="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FDB-19D9-4F39-8326-B158FEA38B00}">
  <dimension ref="A1:F34"/>
  <sheetViews>
    <sheetView topLeftCell="A13" workbookViewId="0">
      <selection sqref="A1:B29"/>
    </sheetView>
  </sheetViews>
  <sheetFormatPr defaultRowHeight="13.2" x14ac:dyDescent="0.25"/>
  <cols>
    <col min="1" max="1" width="90.44140625" bestFit="1" customWidth="1"/>
    <col min="2" max="2" width="13.109375" style="6" bestFit="1" customWidth="1"/>
  </cols>
  <sheetData>
    <row r="1" spans="1:6" ht="17.399999999999999" x14ac:dyDescent="0.3">
      <c r="A1" s="2" t="s">
        <v>93</v>
      </c>
      <c r="B1" s="5" t="s">
        <v>122</v>
      </c>
      <c r="F1" s="1"/>
    </row>
    <row r="2" spans="1:6" ht="17.399999999999999" x14ac:dyDescent="0.3">
      <c r="A2" s="2" t="s">
        <v>110</v>
      </c>
      <c r="B2" s="5">
        <f>SUM(Electronic_db[Price ($)])</f>
        <v>10100</v>
      </c>
    </row>
    <row r="3" spans="1:6" ht="17.399999999999999" x14ac:dyDescent="0.3">
      <c r="A3" s="2" t="s">
        <v>109</v>
      </c>
      <c r="B3" s="5">
        <f>COUNTA(Electronic_db[Product ID])</f>
        <v>34</v>
      </c>
    </row>
    <row r="4" spans="1:6" ht="17.399999999999999" x14ac:dyDescent="0.3">
      <c r="A4" s="2" t="s">
        <v>108</v>
      </c>
      <c r="B4" s="5">
        <f>AVERAGE(Electronic_db[Price ($)])</f>
        <v>297.05882352941177</v>
      </c>
    </row>
    <row r="5" spans="1:6" x14ac:dyDescent="0.25">
      <c r="A5" s="3"/>
      <c r="B5" s="5"/>
    </row>
    <row r="6" spans="1:6" ht="17.399999999999999" x14ac:dyDescent="0.3">
      <c r="A6" s="2" t="s">
        <v>94</v>
      </c>
      <c r="B6" s="5"/>
    </row>
    <row r="7" spans="1:6" ht="17.399999999999999" x14ac:dyDescent="0.3">
      <c r="A7" s="2" t="s">
        <v>106</v>
      </c>
      <c r="B7" s="5">
        <f>MIN(Electronic_db[Price ($)])</f>
        <v>30</v>
      </c>
    </row>
    <row r="8" spans="1:6" ht="17.399999999999999" x14ac:dyDescent="0.3">
      <c r="A8" s="2" t="s">
        <v>107</v>
      </c>
      <c r="B8" s="5">
        <f>MAX(Electronic_db[Price ($)])</f>
        <v>1000</v>
      </c>
    </row>
    <row r="9" spans="1:6" x14ac:dyDescent="0.25">
      <c r="A9" s="3"/>
      <c r="B9" s="5"/>
    </row>
    <row r="10" spans="1:6" ht="17.399999999999999" x14ac:dyDescent="0.3">
      <c r="A10" s="4" t="s">
        <v>98</v>
      </c>
      <c r="B10" s="5"/>
    </row>
    <row r="11" spans="1:6" ht="17.399999999999999" x14ac:dyDescent="0.3">
      <c r="A11" s="4" t="s">
        <v>100</v>
      </c>
      <c r="B11" s="5"/>
    </row>
    <row r="12" spans="1:6" ht="17.399999999999999" x14ac:dyDescent="0.3">
      <c r="A12" s="4" t="s">
        <v>101</v>
      </c>
      <c r="B12" s="5"/>
    </row>
    <row r="13" spans="1:6" ht="17.399999999999999" x14ac:dyDescent="0.3">
      <c r="A13" s="4" t="s">
        <v>95</v>
      </c>
      <c r="B13" s="5" t="str">
        <f>IF(Electronic_db[[#This Row],[Price ($)]]&gt;=500,"High price","Standard price")</f>
        <v>Standard price</v>
      </c>
    </row>
    <row r="14" spans="1:6" ht="17.399999999999999" x14ac:dyDescent="0.3">
      <c r="A14" s="4" t="s">
        <v>96</v>
      </c>
      <c r="B14" s="5" t="str">
        <f>IF(Electronic_db[[#This Row],[Price ($)]]&lt;500,"High price","Standard price")</f>
        <v>High price</v>
      </c>
    </row>
    <row r="15" spans="1:6" x14ac:dyDescent="0.25">
      <c r="A15" s="3"/>
      <c r="B15" s="5"/>
    </row>
    <row r="16" spans="1:6" ht="17.399999999999999" x14ac:dyDescent="0.3">
      <c r="A16" s="2" t="s">
        <v>97</v>
      </c>
      <c r="B16" s="5"/>
    </row>
    <row r="17" spans="1:2" ht="17.399999999999999" x14ac:dyDescent="0.3">
      <c r="A17" s="4" t="s">
        <v>102</v>
      </c>
      <c r="B17" s="5"/>
    </row>
    <row r="18" spans="1:2" ht="17.399999999999999" x14ac:dyDescent="0.3">
      <c r="A18" s="4" t="s">
        <v>104</v>
      </c>
      <c r="B18" s="5">
        <f>SUMIF(Electronic_db[Category],"Electronics",Electronic_db[Price ($)])</f>
        <v>8050</v>
      </c>
    </row>
    <row r="19" spans="1:2" ht="17.399999999999999" x14ac:dyDescent="0.3">
      <c r="A19" s="4" t="s">
        <v>103</v>
      </c>
      <c r="B19" s="5"/>
    </row>
    <row r="20" spans="1:2" ht="17.399999999999999" x14ac:dyDescent="0.3">
      <c r="A20" s="4" t="s">
        <v>105</v>
      </c>
      <c r="B20" s="5">
        <f>COUNTIF(Electronic_db[Price ($)],"&lt;100")</f>
        <v>11</v>
      </c>
    </row>
    <row r="21" spans="1:2" x14ac:dyDescent="0.25">
      <c r="A21" s="3"/>
      <c r="B21" s="5"/>
    </row>
    <row r="22" spans="1:2" ht="17.399999999999999" x14ac:dyDescent="0.3">
      <c r="A22" s="2" t="s">
        <v>99</v>
      </c>
      <c r="B22" s="5"/>
    </row>
    <row r="23" spans="1:2" ht="17.399999999999999" x14ac:dyDescent="0.3">
      <c r="A23" s="4" t="s">
        <v>111</v>
      </c>
      <c r="B23" s="5"/>
    </row>
    <row r="24" spans="1:2" ht="17.399999999999999" x14ac:dyDescent="0.3">
      <c r="A24" s="4" t="s">
        <v>112</v>
      </c>
      <c r="B24" s="5"/>
    </row>
    <row r="25" spans="1:2" ht="17.399999999999999" x14ac:dyDescent="0.3">
      <c r="A25" s="4" t="s">
        <v>113</v>
      </c>
      <c r="B25" s="5"/>
    </row>
    <row r="26" spans="1:2" ht="17.399999999999999" x14ac:dyDescent="0.3">
      <c r="A26" s="4" t="s">
        <v>114</v>
      </c>
      <c r="B26" s="5"/>
    </row>
    <row r="27" spans="1:2" ht="17.399999999999999" x14ac:dyDescent="0.3">
      <c r="A27" s="4" t="s">
        <v>115</v>
      </c>
      <c r="B27" s="5"/>
    </row>
    <row r="28" spans="1:2" ht="17.399999999999999" x14ac:dyDescent="0.3">
      <c r="A28" s="4" t="s">
        <v>116</v>
      </c>
      <c r="B28" s="5"/>
    </row>
    <row r="29" spans="1:2" ht="17.399999999999999" x14ac:dyDescent="0.3">
      <c r="A29" s="4" t="s">
        <v>117</v>
      </c>
      <c r="B29" s="5"/>
    </row>
    <row r="30" spans="1:2" x14ac:dyDescent="0.25">
      <c r="A30" s="3"/>
      <c r="B30" s="5"/>
    </row>
    <row r="31" spans="1:2" x14ac:dyDescent="0.25">
      <c r="A31" s="3"/>
      <c r="B31" s="5"/>
    </row>
    <row r="32" spans="1:2" x14ac:dyDescent="0.25">
      <c r="A32" s="3"/>
      <c r="B32" s="5"/>
    </row>
    <row r="33" spans="1:2" x14ac:dyDescent="0.25">
      <c r="A33" s="3"/>
      <c r="B33" s="5"/>
    </row>
    <row r="34" spans="1:2" x14ac:dyDescent="0.25">
      <c r="A34" s="3"/>
      <c r="B3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 NIKITHAA</dc:creator>
  <cp:lastModifiedBy>Nikithaa K.S</cp:lastModifiedBy>
  <cp:lastPrinted>2026-10-27T17:49:23Z</cp:lastPrinted>
  <dcterms:created xsi:type="dcterms:W3CDTF">2026-10-27T14:21:37Z</dcterms:created>
  <dcterms:modified xsi:type="dcterms:W3CDTF">2026-10-27T17:52:35Z</dcterms:modified>
</cp:coreProperties>
</file>